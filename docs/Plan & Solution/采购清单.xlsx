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0xd4c0/CodeBank/airtech-official-website/docs/Plan &amp; Solution/"/>
    </mc:Choice>
  </mc:AlternateContent>
  <xr:revisionPtr revIDLastSave="0" documentId="13_ncr:1_{B869918A-A821-B647-9BA7-00B2134CD355}" xr6:coauthVersionLast="47" xr6:coauthVersionMax="47" xr10:uidLastSave="{00000000-0000-0000-0000-000000000000}"/>
  <bookViews>
    <workbookView xWindow="0" yWindow="660" windowWidth="34560" windowHeight="21680" xr2:uid="{3AA6A1F0-29C4-1A49-AB75-6D63A6567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" l="1"/>
  <c r="H3" i="1"/>
  <c r="H4" i="1"/>
  <c r="H5" i="1"/>
  <c r="H6" i="1"/>
</calcChain>
</file>

<file path=xl/sharedStrings.xml><?xml version="1.0" encoding="utf-8"?>
<sst xmlns="http://schemas.openxmlformats.org/spreadsheetml/2006/main" count="24" uniqueCount="22">
  <si>
    <t>采购清单</t>
    <phoneticPr fontId="1" type="noConversion"/>
  </si>
  <si>
    <t>编号</t>
    <phoneticPr fontId="1" type="noConversion"/>
  </si>
  <si>
    <t>项目</t>
    <phoneticPr fontId="1" type="noConversion"/>
  </si>
  <si>
    <t>一次/长期</t>
    <phoneticPr fontId="1" type="noConversion"/>
  </si>
  <si>
    <t>单价</t>
    <phoneticPr fontId="1" type="noConversion"/>
  </si>
  <si>
    <t>数量</t>
    <phoneticPr fontId="1" type="noConversion"/>
  </si>
  <si>
    <t>备注</t>
    <phoneticPr fontId="1" type="noConversion"/>
  </si>
  <si>
    <t>云服务器</t>
    <phoneticPr fontId="1" type="noConversion"/>
  </si>
  <si>
    <t>型号</t>
    <phoneticPr fontId="1" type="noConversion"/>
  </si>
  <si>
    <t>长期</t>
    <phoneticPr fontId="1" type="noConversion"/>
  </si>
  <si>
    <t>开发期间需要3个月</t>
    <phoneticPr fontId="1" type="noConversion"/>
  </si>
  <si>
    <t>Object Storage</t>
    <phoneticPr fontId="1" type="noConversion"/>
  </si>
  <si>
    <t>CDN</t>
    <phoneticPr fontId="1" type="noConversion"/>
  </si>
  <si>
    <t>非中国大陆100GB</t>
    <phoneticPr fontId="1" type="noConversion"/>
  </si>
  <si>
    <t>新加坡500GB</t>
    <phoneticPr fontId="1" type="noConversion"/>
  </si>
  <si>
    <t>新加坡 2核4G | 50GB</t>
    <phoneticPr fontId="1" type="noConversion"/>
  </si>
  <si>
    <t>ChatGPT Plus订阅</t>
    <phoneticPr fontId="1" type="noConversion"/>
  </si>
  <si>
    <t>20倍额度</t>
    <phoneticPr fontId="1" type="noConversion"/>
  </si>
  <si>
    <t>如果性能强劲，可以改为企业版采购</t>
    <phoneticPr fontId="1" type="noConversion"/>
  </si>
  <si>
    <t>列1</t>
    <phoneticPr fontId="1" type="noConversion"/>
  </si>
  <si>
    <t>一次</t>
    <phoneticPr fontId="1" type="noConversion"/>
  </si>
  <si>
    <t>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</si>
</sst>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¥&quot;* #,##0.00_);_(&quot;¥&quot;* \(#,##0.00\);_(&quot;¥&quot;* &quot;-&quot;??_);_(@_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48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24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44" fontId="0" fillId="0" borderId="0" xfId="0" applyNumberFormat="1" applyAlignment="1">
      <alignment vertical="center" wrapText="1"/>
    </xf>
    <xf numFmtId="0" fontId="4" fillId="0" borderId="0" xfId="0" applyFont="1">
      <alignment vertical="center"/>
    </xf>
    <xf numFmtId="44" fontId="4" fillId="0" borderId="0" xfId="1" applyFont="1">
      <alignment vertical="center"/>
    </xf>
  </cellXfs>
  <cellStyles count="2">
    <cellStyle name="常规" xfId="0" builtinId="0"/>
    <cellStyle name="货币" xfId="1" builtinId="4"/>
  </cellStyles>
  <dxfs count="10">
    <dxf>
      <numFmt numFmtId="34" formatCode="_(&quot;¥&quot;* #,##0.00_);_(&quot;¥&quot;* \(#,##0.00\);_(&quot;¥&quot;* &quot;-&quot;??_);_(@_)"/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7C8BAE-512C-B54E-9707-3BD580241D4F}" name="表3" displayName="表3" ref="A2:H6" totalsRowShown="0" headerRowDxfId="9" dataDxfId="8">
  <autoFilter ref="A2:H6" xr:uid="{E97C8BAE-512C-B54E-9707-3BD580241D4F}"/>
  <tableColumns count="8">
    <tableColumn id="1" xr3:uid="{A558922F-537B-F04B-8577-1F0CBE3CF83C}" name="编号" dataDxfId="7"/>
    <tableColumn id="2" xr3:uid="{7A69B7E6-B62D-954D-96D3-CEF95CCA646F}" name="项目" dataDxfId="6"/>
    <tableColumn id="3" xr3:uid="{6B47D391-8C11-BD44-B44E-29234C1D3A6C}" name="型号" dataDxfId="5"/>
    <tableColumn id="4" xr3:uid="{7FE4326E-83FD-F546-892F-A084E7E12A69}" name="一次/长期" dataDxfId="2"/>
    <tableColumn id="5" xr3:uid="{F45A1BCD-7F02-E64D-9FC6-B8E984603EF7}" name="单价" dataDxfId="0"/>
    <tableColumn id="6" xr3:uid="{3A2C9F94-FD35-BE4B-8775-80D6569DD028}" name="数量" dataDxfId="1"/>
    <tableColumn id="7" xr3:uid="{536179D5-A794-4E4C-A3A4-9B3C0CF345D2}" name="备注" dataDxfId="4"/>
    <tableColumn id="8" xr3:uid="{01BFFB29-833D-3B4F-A139-0914AB228A23}" name="列1" dataDxfId="3">
      <calculatedColumnFormula>表3[[#This Row],[单价]]*表3[[#This Row],[数量]]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845-B494-1F4C-85DB-DEE5E93732B2}">
  <dimension ref="A1:H49"/>
  <sheetViews>
    <sheetView tabSelected="1" workbookViewId="0">
      <selection activeCell="J6" sqref="J6"/>
    </sheetView>
  </sheetViews>
  <sheetFormatPr baseColWidth="10" defaultRowHeight="16"/>
  <cols>
    <col min="2" max="2" width="15.5" customWidth="1"/>
    <col min="3" max="3" width="21.83203125" customWidth="1"/>
    <col min="4" max="4" width="12.33203125" customWidth="1"/>
    <col min="5" max="5" width="11.33203125" bestFit="1" customWidth="1"/>
    <col min="7" max="7" width="22.33203125" customWidth="1"/>
    <col min="8" max="8" width="15.1640625" customWidth="1"/>
  </cols>
  <sheetData>
    <row r="1" spans="1:8" ht="60">
      <c r="A1" s="3" t="s">
        <v>0</v>
      </c>
      <c r="F1" s="5" t="s">
        <v>21</v>
      </c>
      <c r="G1" s="6">
        <f>SUM(表3[列1])</f>
        <v>1946.4</v>
      </c>
    </row>
    <row r="2" spans="1:8" ht="17">
      <c r="A2" s="1" t="s">
        <v>1</v>
      </c>
      <c r="B2" s="1" t="s">
        <v>2</v>
      </c>
      <c r="C2" s="1" t="s">
        <v>8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19</v>
      </c>
    </row>
    <row r="3" spans="1:8" ht="17">
      <c r="A3" s="1">
        <v>1</v>
      </c>
      <c r="B3" s="1" t="s">
        <v>7</v>
      </c>
      <c r="C3" s="1" t="s">
        <v>15</v>
      </c>
      <c r="D3" s="1" t="s">
        <v>9</v>
      </c>
      <c r="E3" s="4">
        <v>112</v>
      </c>
      <c r="F3" s="1">
        <v>3</v>
      </c>
      <c r="G3" s="2" t="s">
        <v>10</v>
      </c>
      <c r="H3" s="1">
        <f>表3[[#This Row],[单价]]*表3[[#This Row],[数量]]</f>
        <v>336</v>
      </c>
    </row>
    <row r="4" spans="1:8" ht="17">
      <c r="A4" s="1">
        <v>2</v>
      </c>
      <c r="B4" s="1" t="s">
        <v>11</v>
      </c>
      <c r="C4" s="1" t="s">
        <v>14</v>
      </c>
      <c r="D4" s="1" t="s">
        <v>9</v>
      </c>
      <c r="E4" s="4">
        <v>70</v>
      </c>
      <c r="F4" s="1">
        <v>3</v>
      </c>
      <c r="G4" s="2"/>
      <c r="H4" s="1">
        <f>表3[[#This Row],[单价]]*表3[[#This Row],[数量]]</f>
        <v>210</v>
      </c>
    </row>
    <row r="5" spans="1:8" ht="17">
      <c r="A5" s="1">
        <v>3</v>
      </c>
      <c r="B5" s="1" t="s">
        <v>12</v>
      </c>
      <c r="C5" s="1" t="s">
        <v>13</v>
      </c>
      <c r="D5" s="1" t="s">
        <v>9</v>
      </c>
      <c r="E5" s="4">
        <v>56</v>
      </c>
      <c r="F5" s="1">
        <v>1</v>
      </c>
      <c r="G5" s="2"/>
      <c r="H5" s="1">
        <f>表3[[#This Row],[单价]]*表3[[#This Row],[数量]]</f>
        <v>56</v>
      </c>
    </row>
    <row r="6" spans="1:8" ht="34">
      <c r="A6" s="1">
        <v>4</v>
      </c>
      <c r="B6" s="1" t="s">
        <v>16</v>
      </c>
      <c r="C6" s="1" t="s">
        <v>17</v>
      </c>
      <c r="D6" s="1" t="s">
        <v>20</v>
      </c>
      <c r="E6" s="4">
        <v>1344.4</v>
      </c>
      <c r="F6" s="1">
        <v>1</v>
      </c>
      <c r="G6" s="1" t="s">
        <v>18</v>
      </c>
      <c r="H6" s="1">
        <f>表3[[#This Row],[单价]]*表3[[#This Row],[数量]]</f>
        <v>1344.4</v>
      </c>
    </row>
    <row r="7" spans="1:8">
      <c r="A7">
        <v>5</v>
      </c>
    </row>
    <row r="8" spans="1:8">
      <c r="A8">
        <v>6</v>
      </c>
    </row>
    <row r="9" spans="1:8">
      <c r="A9">
        <v>7</v>
      </c>
    </row>
    <row r="10" spans="1:8">
      <c r="A10">
        <v>8</v>
      </c>
    </row>
    <row r="11" spans="1:8">
      <c r="A11">
        <v>9</v>
      </c>
    </row>
    <row r="12" spans="1:8">
      <c r="A12">
        <v>10</v>
      </c>
    </row>
    <row r="13" spans="1:8">
      <c r="A13">
        <v>11</v>
      </c>
    </row>
    <row r="14" spans="1:8">
      <c r="A14">
        <v>12</v>
      </c>
    </row>
    <row r="15" spans="1:8">
      <c r="A15">
        <v>13</v>
      </c>
    </row>
    <row r="16" spans="1:8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扇区D4C0</dc:creator>
  <cp:lastModifiedBy>扇区D4C0</cp:lastModifiedBy>
  <dcterms:created xsi:type="dcterms:W3CDTF">2026-08-31T02:11:52Z</dcterms:created>
  <dcterms:modified xsi:type="dcterms:W3CDTF">2026-08-31T02:32:34Z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2026-08-31T02:12:02Z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a38c69c0-27d9-48ad-84f6-21d0e743a107</vt:lpwstr>
  </property>
  <property fmtid="{D5CDD505-2E9C-101B-9397-08002B2CF9AE}" pid="7" name="MSIP_Label_defa4170-0d19-0005-0004-bc88714345d2_ActionId">
    <vt:lpwstr>d0742882-e6bf-4064-b50c-dd6c554a58dc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